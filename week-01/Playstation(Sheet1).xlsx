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rielrollins\Desktop\DataAnalytics\week-01\"/>
    </mc:Choice>
  </mc:AlternateContent>
  <xr:revisionPtr revIDLastSave="0" documentId="8_{EAACE616-9B3E-40C2-9D45-BAF5C7D51BA6}" xr6:coauthVersionLast="47" xr6:coauthVersionMax="47" xr10:uidLastSave="{00000000-0000-0000-0000-000000000000}"/>
  <bookViews>
    <workbookView xWindow="13740" yWindow="0" windowWidth="15165" windowHeight="17385" xr2:uid="{4CE641F4-B1CF-4799-B66D-341A98F2044E}"/>
  </bookViews>
  <sheets>
    <sheet name="Playstation(Sheet1) (3)" sheetId="1" r:id="rId1"/>
  </sheets>
  <calcPr calcId="0"/>
  <pivotCaches>
    <pivotCache cacheId="29" r:id="rId2"/>
  </pivotCaches>
</workbook>
</file>

<file path=xl/calcChain.xml><?xml version="1.0" encoding="utf-8"?>
<calcChain xmlns="http://schemas.openxmlformats.org/spreadsheetml/2006/main">
  <c r="F33" i="1" l="1"/>
  <c r="F31" i="1"/>
  <c r="F29" i="1"/>
  <c r="F27" i="1"/>
  <c r="D27" i="1"/>
  <c r="D18" i="1"/>
  <c r="D19" i="1"/>
  <c r="D20" i="1"/>
  <c r="D21" i="1"/>
  <c r="D22" i="1"/>
  <c r="D23" i="1"/>
  <c r="D24" i="1"/>
  <c r="D25" i="1"/>
  <c r="D7" i="1"/>
  <c r="D8" i="1"/>
  <c r="D9" i="1"/>
  <c r="D10" i="1"/>
  <c r="D11" i="1"/>
  <c r="D12" i="1"/>
  <c r="D13" i="1"/>
  <c r="D14" i="1"/>
  <c r="D15" i="1"/>
  <c r="D16" i="1"/>
  <c r="D17" i="1"/>
  <c r="D5" i="1"/>
  <c r="D6" i="1"/>
  <c r="D3" i="1"/>
  <c r="D4" i="1"/>
  <c r="D2" i="1"/>
</calcChain>
</file>

<file path=xl/sharedStrings.xml><?xml version="1.0" encoding="utf-8"?>
<sst xmlns="http://schemas.openxmlformats.org/spreadsheetml/2006/main" count="191" uniqueCount="117">
  <si>
    <t>Id</t>
  </si>
  <si>
    <t>Start time</t>
  </si>
  <si>
    <t>Completion time</t>
  </si>
  <si>
    <t>Email</t>
  </si>
  <si>
    <t>What is your favorite Playstation game title?</t>
  </si>
  <si>
    <t>What city and state are you in?</t>
  </si>
  <si>
    <t>What was your most recent game title purchase?</t>
  </si>
  <si>
    <t>For how long have you been playing our Consoles?</t>
  </si>
  <si>
    <t>anonymous</t>
  </si>
  <si>
    <t>Adventure</t>
  </si>
  <si>
    <t>The Last Of Us</t>
  </si>
  <si>
    <t>I dont have a playstation EL but maybe GTA5</t>
  </si>
  <si>
    <t>please LOL</t>
  </si>
  <si>
    <t xml:space="preserve">Chicago Illinois </t>
  </si>
  <si>
    <t>Content King</t>
  </si>
  <si>
    <t xml:space="preserve">never I don't have any Sons of Sony </t>
  </si>
  <si>
    <t>Sports</t>
  </si>
  <si>
    <t>WWE smack down vs Raw 2007</t>
  </si>
  <si>
    <t>treynem2</t>
  </si>
  <si>
    <t>Chicago, IL</t>
  </si>
  <si>
    <t>gears of war</t>
  </si>
  <si>
    <t>15 years</t>
  </si>
  <si>
    <t>Mario</t>
  </si>
  <si>
    <t>Arlington, TX</t>
  </si>
  <si>
    <t>Fighters</t>
  </si>
  <si>
    <t>Grand theft auto</t>
  </si>
  <si>
    <t>ShayK</t>
  </si>
  <si>
    <t>Chicago</t>
  </si>
  <si>
    <t>Sims</t>
  </si>
  <si>
    <t xml:space="preserve">20 years </t>
  </si>
  <si>
    <t>God of War</t>
  </si>
  <si>
    <t>Star Wars Jedi: Fallen Order</t>
  </si>
  <si>
    <t>Less than 1 hour</t>
  </si>
  <si>
    <t>CRASH</t>
  </si>
  <si>
    <t>2 Years</t>
  </si>
  <si>
    <t>N/A</t>
  </si>
  <si>
    <t>Illinois</t>
  </si>
  <si>
    <t>10 yrs</t>
  </si>
  <si>
    <t>Call of Duty</t>
  </si>
  <si>
    <t>Chicago,IL</t>
  </si>
  <si>
    <t>GTA5</t>
  </si>
  <si>
    <t>2 years</t>
  </si>
  <si>
    <t>Little Big Planet</t>
  </si>
  <si>
    <t>Jimster776</t>
  </si>
  <si>
    <t>dragon ball sparking zero</t>
  </si>
  <si>
    <t>20 years</t>
  </si>
  <si>
    <t>Fifa 24</t>
  </si>
  <si>
    <t>Fornite</t>
  </si>
  <si>
    <t>1year</t>
  </si>
  <si>
    <t>Fifa</t>
  </si>
  <si>
    <t xml:space="preserve">i dont have it </t>
  </si>
  <si>
    <t>chicago</t>
  </si>
  <si>
    <t>i dont purchase, use my friend's</t>
  </si>
  <si>
    <t>FIFA 16</t>
  </si>
  <si>
    <t>West Chicago, IL</t>
  </si>
  <si>
    <t>EA FC26</t>
  </si>
  <si>
    <t>10 years</t>
  </si>
  <si>
    <t>FC 26</t>
  </si>
  <si>
    <t>Warbros</t>
  </si>
  <si>
    <t>Bolingbrook, IL</t>
  </si>
  <si>
    <t xml:space="preserve">Spiderman 2 </t>
  </si>
  <si>
    <t>6 years</t>
  </si>
  <si>
    <t xml:space="preserve">FIFA </t>
  </si>
  <si>
    <t>TX</t>
  </si>
  <si>
    <t xml:space="preserve">Speed </t>
  </si>
  <si>
    <t>I don’t have one</t>
  </si>
  <si>
    <t>Dallas, Texas</t>
  </si>
  <si>
    <t>I have not purchased any games</t>
  </si>
  <si>
    <t>Never played</t>
  </si>
  <si>
    <t>mortal kombat</t>
  </si>
  <si>
    <t>3 months</t>
  </si>
  <si>
    <t>Taken</t>
  </si>
  <si>
    <t>Mckinney, Texas</t>
  </si>
  <si>
    <t>4 years</t>
  </si>
  <si>
    <t>Uncharted</t>
  </si>
  <si>
    <t>Chicago IL</t>
  </si>
  <si>
    <t>Highguard</t>
  </si>
  <si>
    <t>7+ years</t>
  </si>
  <si>
    <t>MMORPG</t>
  </si>
  <si>
    <t>Warframe</t>
  </si>
  <si>
    <t>dont have psn anymore</t>
  </si>
  <si>
    <t>Chicago, Il</t>
  </si>
  <si>
    <t>Arc Raiders</t>
  </si>
  <si>
    <t>20+ years</t>
  </si>
  <si>
    <t xml:space="preserve">God of War </t>
  </si>
  <si>
    <t>Ppao_la</t>
  </si>
  <si>
    <t xml:space="preserve">Mewgenics </t>
  </si>
  <si>
    <t xml:space="preserve">10 years </t>
  </si>
  <si>
    <t>i don't have one</t>
  </si>
  <si>
    <t>Chiiicago, Illinoi</t>
  </si>
  <si>
    <t>PEAK</t>
  </si>
  <si>
    <t>i don't have playstation</t>
  </si>
  <si>
    <t>Never played before</t>
  </si>
  <si>
    <t>Chicago/ IL</t>
  </si>
  <si>
    <t>Shaqattack7</t>
  </si>
  <si>
    <t>MLB The Show 26</t>
  </si>
  <si>
    <t>Less than a year</t>
  </si>
  <si>
    <t>What is your PSN ID</t>
  </si>
  <si>
    <t>3 years</t>
  </si>
  <si>
    <t>PSN ID #69047</t>
  </si>
  <si>
    <t>PSN ID #75546</t>
  </si>
  <si>
    <t>I forgot</t>
  </si>
  <si>
    <t>PSN ID #11104534</t>
  </si>
  <si>
    <t>PSN ID #56698956</t>
  </si>
  <si>
    <t>PSN ID #123123123</t>
  </si>
  <si>
    <t>PSN ID #12345</t>
  </si>
  <si>
    <t>sgt_-_43</t>
  </si>
  <si>
    <t>Time to Complete</t>
  </si>
  <si>
    <t>Average time to complete</t>
  </si>
  <si>
    <t>What are your favorite genres of games?</t>
  </si>
  <si>
    <t>9 People Prefer Adventure Games</t>
  </si>
  <si>
    <t>7 People Prefer Sports Games</t>
  </si>
  <si>
    <t>6 People Prefer Fighting Games</t>
  </si>
  <si>
    <t>2 People Prefer MMORPGs</t>
  </si>
  <si>
    <t>Count of What are your favorite genres of games?</t>
  </si>
  <si>
    <t>Row Labels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</si>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</sst>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8" formatCode="h:mm;@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0" fontId="0" fillId="0" borderId="0" xfId="0" applyAlignment="1">
      <alignment wrapText="1"/>
    </xf>
    <xf numFmtId="22" fontId="0" fillId="0" borderId="0" xfId="0" applyNumberFormat="1"/>
    <xf numFmtId="168" fontId="0" fillId="0" borderId="0" xfId="0" applyNumberFormat="1"/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3">
    <dxf>
      <numFmt numFmtId="168" formatCode="h:mm;@"/>
    </dxf>
    <dxf>
      <numFmt numFmtId="27" formatCode="m/d/yyyy\ h:mm"/>
    </dxf>
    <dxf>
      <numFmt numFmtId="27" formatCode="m/d/yyyy\ h:m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[Playstation(Sheet1).xlsx]Playstation(Sheet1) (3)!PivotTable11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circle"/>
          <c:size val="5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dLbl>
          <c:idx val="0"/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dLbl>
          <c:idx val="0"/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dLbl>
          <c:idx val="0"/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dLbl>
          <c:idx val="0"/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dLbl>
          <c:idx val="0"/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dLbl>
          <c:idx val="0"/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dLbl>
          <c:idx val="0"/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dLbl>
          <c:idx val="0"/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dLbl>
          <c:idx val="0"/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dLbl>
          <c:idx val="0"/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dLbl>
          <c:idx val="0"/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dLbl>
          <c:idx val="0"/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dLbl>
          <c:idx val="0"/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dLbl>
          <c:idx val="0"/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pieChart>
        <c:varyColors val="1"/>
        <c:ser>
          <c:idx val="0"/>
          <c:order val="0"/>
          <c:tx>
            <c:strRef>
              <c:f>'Playstation(Sheet1) (3)'!$H$28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'Playstation(Sheet1) (3)'!$G$29:$G$33</c:f>
              <c:strCache>
                <c:ptCount val="4"/>
                <c:pt idx="0">
                  <c:v>Adventure</c:v>
                </c:pt>
                <c:pt idx="1">
                  <c:v>Fighters</c:v>
                </c:pt>
                <c:pt idx="2">
                  <c:v>MMORPG</c:v>
                </c:pt>
                <c:pt idx="3">
                  <c:v>Sports</c:v>
                </c:pt>
              </c:strCache>
            </c:strRef>
          </c:cat>
          <c:val>
            <c:numRef>
              <c:f>'Playstation(Sheet1) (3)'!$H$29:$H$33</c:f>
              <c:numCache>
                <c:formatCode>General</c:formatCode>
                <c:ptCount val="4"/>
                <c:pt idx="0">
                  <c:v>9</c:v>
                </c:pt>
                <c:pt idx="1">
                  <c:v>6</c:v>
                </c:pt>
                <c:pt idx="2">
                  <c:v>2</c:v>
                </c:pt>
                <c:pt idx="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0C2-493C-B44F-78E433DC76E9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33</xdr:row>
      <xdr:rowOff>42862</xdr:rowOff>
    </xdr:from>
    <xdr:to>
      <xdr:col>8</xdr:col>
      <xdr:colOff>0</xdr:colOff>
      <xdr:row>47</xdr:row>
      <xdr:rowOff>119062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C6F6956-AEA9-645D-3733-0D78F9099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riel rollins" refreshedDate="46122.621535300925" createdVersion="8" refreshedVersion="8" minRefreshableVersion="3" recordCount="24" xr:uid="{F68B6BE3-8D62-4B2E-AB82-285331F3289F}">
  <cacheSource type="worksheet">
    <worksheetSource name="Table1"/>
  </cacheSource>
  <cacheFields count="11">
    <cacheField name="Id" numFmtId="0">
      <sharedItems containsSemiMixedTypes="0" containsString="0" containsNumber="1" containsInteger="1" minValue="1" maxValue="24"/>
    </cacheField>
    <cacheField name="Start time" numFmtId="22">
      <sharedItems containsSemiMixedTypes="0" containsNonDate="0" containsDate="1" containsString="0" minDate="2026-04-08T20:55:00" maxDate="2026-04-10T12:46:00"/>
    </cacheField>
    <cacheField name="Completion time" numFmtId="22">
      <sharedItems containsSemiMixedTypes="0" containsNonDate="0" containsDate="1" containsString="0" minDate="2026-04-08T20:58:00" maxDate="2026-04-10T12:49:00"/>
    </cacheField>
    <cacheField name="Time to Complete" numFmtId="168">
      <sharedItems containsSemiMixedTypes="0" containsNonDate="0" containsDate="1" containsString="0" minDate="1899-12-30T00:00:00" maxDate="1899-12-30T00:25:00"/>
    </cacheField>
    <cacheField name="Email" numFmtId="0">
      <sharedItems/>
    </cacheField>
    <cacheField name="What are your favorite genres of games?" numFmtId="0">
      <sharedItems count="4">
        <s v="Adventure"/>
        <s v="Sports"/>
        <s v="Fighters"/>
        <s v="MMORPG"/>
      </sharedItems>
    </cacheField>
    <cacheField name="What is your favorite Playstation game title?" numFmtId="0">
      <sharedItems/>
    </cacheField>
    <cacheField name="What is your PSN ID" numFmtId="0">
      <sharedItems count="19">
        <s v="N/A"/>
        <s v="please LOL"/>
        <s v="treynem2"/>
        <s v="PSN ID #12345"/>
        <s v="ShayK"/>
        <s v="PSN ID #123123123"/>
        <s v="PSN ID #56698956"/>
        <s v="Jimster776"/>
        <s v="PSN ID #11104534"/>
        <s v="i dont have it "/>
        <s v="sgt_-_43"/>
        <s v="Warbros"/>
        <s v="PSN ID #69047"/>
        <s v="PSN ID #75546"/>
        <s v="I forgot"/>
        <s v="dont have psn anymore"/>
        <s v="Ppao_la"/>
        <s v="i don't have one"/>
        <s v="Shaqattack7"/>
      </sharedItems>
    </cacheField>
    <cacheField name="What city and state are you in?" numFmtId="0">
      <sharedItems/>
    </cacheField>
    <cacheField name="What was your most recent game title purchase?" numFmtId="0">
      <sharedItems/>
    </cacheField>
    <cacheField name="For how long have you been playing our Consoles?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">
  <r>
    <n v="1"/>
    <d v="2026-04-08T20:55:00"/>
    <d v="2026-04-08T20:58:00"/>
    <d v="1899-12-30T00:03:00"/>
    <s v="anonymous"/>
    <x v="0"/>
    <s v="The Last Of Us"/>
    <x v="0"/>
    <s v="N/A"/>
    <s v="N/A"/>
    <s v="N/A"/>
  </r>
  <r>
    <n v="2"/>
    <d v="2026-04-08T21:38:00"/>
    <d v="2026-04-08T21:41:00"/>
    <d v="1899-12-30T00:03:00"/>
    <s v="anonymous"/>
    <x v="0"/>
    <s v="I dont have a playstation EL but maybe GTA5"/>
    <x v="1"/>
    <s v="Chicago Illinois "/>
    <s v="Content King"/>
    <s v="never I don't have any Sons of Sony "/>
  </r>
  <r>
    <n v="3"/>
    <d v="2026-04-09T09:16:00"/>
    <d v="2026-04-09T09:30:00"/>
    <d v="1899-12-30T00:14:00"/>
    <s v="anonymous"/>
    <x v="1"/>
    <s v="WWE smack down vs Raw 2007"/>
    <x v="2"/>
    <s v="Chicago, IL"/>
    <s v="gears of war"/>
    <s v="15 years"/>
  </r>
  <r>
    <n v="4"/>
    <d v="2026-04-09T10:27:00"/>
    <d v="2026-04-09T10:29:00"/>
    <d v="1899-12-30T00:02:00"/>
    <s v="anonymous"/>
    <x v="0"/>
    <s v="Mario"/>
    <x v="3"/>
    <s v="Arlington, TX"/>
    <s v="Mario"/>
    <s v="2 years"/>
  </r>
  <r>
    <n v="5"/>
    <d v="2026-04-09T10:31:00"/>
    <d v="2026-04-09T10:32:00"/>
    <d v="1899-12-30T00:01:00"/>
    <s v="anonymous"/>
    <x v="2"/>
    <s v="Grand theft auto"/>
    <x v="4"/>
    <s v="Chicago"/>
    <s v="Sims"/>
    <s v="20 years "/>
  </r>
  <r>
    <n v="6"/>
    <d v="2026-04-09T10:34:00"/>
    <d v="2026-04-09T10:35:00"/>
    <d v="1899-12-30T00:01:00"/>
    <s v="anonymous"/>
    <x v="0"/>
    <s v="God of War"/>
    <x v="5"/>
    <s v="Chicago"/>
    <s v="Star Wars Jedi: Fallen Order"/>
    <s v="Less than 1 hour"/>
  </r>
  <r>
    <n v="7"/>
    <d v="2026-04-09T11:36:00"/>
    <d v="2026-04-09T11:36:00"/>
    <d v="1899-12-30T00:00:00"/>
    <s v="anonymous"/>
    <x v="2"/>
    <s v="CRASH"/>
    <x v="6"/>
    <s v="Chicago, IL"/>
    <s v="CRASH"/>
    <s v="2 years"/>
  </r>
  <r>
    <n v="8"/>
    <d v="2026-04-09T11:44:00"/>
    <d v="2026-04-09T11:44:00"/>
    <d v="1899-12-30T00:00:00"/>
    <s v="anonymous"/>
    <x v="0"/>
    <s v="The Last Of Us"/>
    <x v="0"/>
    <s v="Illinois"/>
    <s v="N/A"/>
    <s v="10 yrs"/>
  </r>
  <r>
    <n v="9"/>
    <d v="2026-04-09T13:02:00"/>
    <d v="2026-04-09T13:04:00"/>
    <d v="1899-12-30T00:02:00"/>
    <s v="anonymous"/>
    <x v="0"/>
    <s v="Call of Duty"/>
    <x v="0"/>
    <s v="Chicago,IL"/>
    <s v="GTA5"/>
    <s v="2 years"/>
  </r>
  <r>
    <n v="10"/>
    <d v="2026-04-09T13:13:00"/>
    <d v="2026-04-09T13:13:00"/>
    <d v="1899-12-30T00:00:00"/>
    <s v="anonymous"/>
    <x v="0"/>
    <s v="Little Big Planet"/>
    <x v="7"/>
    <s v="Chicago"/>
    <s v="dragon ball sparking zero"/>
    <s v="20 years"/>
  </r>
  <r>
    <n v="11"/>
    <d v="2026-04-09T13:18:00"/>
    <d v="2026-04-09T13:19:00"/>
    <d v="1899-12-30T00:01:00"/>
    <s v="anonymous"/>
    <x v="1"/>
    <s v="Fifa 24"/>
    <x v="8"/>
    <s v="Chicago,IL"/>
    <s v="Fornite"/>
    <s v="1year"/>
  </r>
  <r>
    <n v="12"/>
    <d v="2026-04-09T13:29:00"/>
    <d v="2026-04-09T13:29:00"/>
    <d v="1899-12-30T00:00:00"/>
    <s v="anonymous"/>
    <x v="1"/>
    <s v="Fifa"/>
    <x v="9"/>
    <s v="Chicago"/>
    <s v="i dont purchase, use my friend's"/>
    <s v="3 years"/>
  </r>
  <r>
    <n v="13"/>
    <d v="2026-04-09T13:32:00"/>
    <d v="2026-04-09T13:33:00"/>
    <d v="1899-12-30T00:01:00"/>
    <s v="anonymous"/>
    <x v="1"/>
    <s v="FIFA 16"/>
    <x v="10"/>
    <s v="West Chicago, IL"/>
    <s v="EA FC26"/>
    <s v="10 years"/>
  </r>
  <r>
    <n v="14"/>
    <d v="2026-04-09T13:34:00"/>
    <d v="2026-04-09T13:35:00"/>
    <d v="1899-12-30T00:01:00"/>
    <s v="anonymous"/>
    <x v="1"/>
    <s v="FC 26"/>
    <x v="11"/>
    <s v="Bolingbrook, IL"/>
    <s v="Spiderman 2 "/>
    <s v="6 years"/>
  </r>
  <r>
    <n v="15"/>
    <d v="2026-04-09T13:37:00"/>
    <d v="2026-04-09T13:38:00"/>
    <d v="1899-12-30T00:01:00"/>
    <s v="anonymous"/>
    <x v="1"/>
    <s v="FIFA "/>
    <x v="12"/>
    <s v="TX"/>
    <s v="Speed "/>
    <s v="2 years"/>
  </r>
  <r>
    <n v="16"/>
    <d v="2026-04-09T13:39:00"/>
    <d v="2026-04-09T13:41:00"/>
    <d v="1899-12-30T00:02:00"/>
    <s v="anonymous"/>
    <x v="2"/>
    <s v="I don’t have one"/>
    <x v="0"/>
    <s v="Dallas, Texas"/>
    <s v="I have not purchased any games"/>
    <s v="Never played"/>
  </r>
  <r>
    <n v="17"/>
    <d v="2026-04-09T13:41:00"/>
    <d v="2026-04-09T13:42:00"/>
    <d v="1899-12-30T00:01:00"/>
    <s v="anonymous"/>
    <x v="2"/>
    <s v="mortal kombat"/>
    <x v="0"/>
    <s v="Chicago"/>
    <s v="mortal kombat"/>
    <s v="3 months"/>
  </r>
  <r>
    <n v="18"/>
    <d v="2026-04-09T13:42:00"/>
    <d v="2026-04-09T13:43:00"/>
    <d v="1899-12-30T00:01:00"/>
    <s v="anonymous"/>
    <x v="1"/>
    <s v="Taken"/>
    <x v="13"/>
    <s v="Mckinney, Texas"/>
    <s v="Fifa"/>
    <s v="4 years"/>
  </r>
  <r>
    <n v="19"/>
    <d v="2026-04-09T13:52:00"/>
    <d v="2026-04-09T13:55:00"/>
    <d v="1899-12-30T00:03:00"/>
    <s v="anonymous"/>
    <x v="2"/>
    <s v="Uncharted"/>
    <x v="14"/>
    <s v="Chicago IL"/>
    <s v="Highguard"/>
    <s v="7+ years"/>
  </r>
  <r>
    <n v="20"/>
    <d v="2026-04-09T13:55:00"/>
    <d v="2026-04-09T13:56:00"/>
    <d v="1899-12-30T00:01:00"/>
    <s v="anonymous"/>
    <x v="3"/>
    <s v="Warframe"/>
    <x v="15"/>
    <s v="Chicago, IL"/>
    <s v="Arc Raiders"/>
    <s v="20+ years"/>
  </r>
  <r>
    <n v="21"/>
    <d v="2026-04-09T13:58:00"/>
    <d v="2026-04-09T14:00:00"/>
    <d v="1899-12-30T00:02:00"/>
    <s v="anonymous"/>
    <x v="0"/>
    <s v="God of War "/>
    <x v="16"/>
    <s v="Chicago"/>
    <s v="Mewgenics "/>
    <s v="10 years "/>
  </r>
  <r>
    <n v="22"/>
    <d v="2026-04-09T14:19:00"/>
    <d v="2026-04-09T14:20:00"/>
    <d v="1899-12-30T00:01:00"/>
    <s v="anonymous"/>
    <x v="3"/>
    <s v="i don't have one"/>
    <x v="17"/>
    <s v="Chiiicago, Illinoi"/>
    <s v="PEAK"/>
    <s v="i don't have playstation"/>
  </r>
  <r>
    <n v="23"/>
    <d v="2026-04-09T16:29:00"/>
    <d v="2026-04-09T16:54:00"/>
    <d v="1899-12-30T00:25:00"/>
    <s v="anonymous"/>
    <x v="0"/>
    <s v="Never played before"/>
    <x v="0"/>
    <s v="Chicago/ IL"/>
    <s v="N/A"/>
    <s v="N/A"/>
  </r>
  <r>
    <n v="24"/>
    <d v="2026-04-10T12:46:00"/>
    <d v="2026-04-10T12:49:00"/>
    <d v="1899-12-30T00:03:00"/>
    <s v="anonymous"/>
    <x v="2"/>
    <s v="God of War"/>
    <x v="18"/>
    <s v="Chicago, IL"/>
    <s v="MLB The Show 26"/>
    <s v="Less than a year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F58B2A0-C352-478B-AC41-243C2829FE5B}" name="PivotTable11" cacheId="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>
  <location ref="G28:H33" firstHeaderRow="1" firstDataRow="1" firstDataCol="1"/>
  <pivotFields count="11">
    <pivotField showAll="0"/>
    <pivotField numFmtId="22" showAll="0"/>
    <pivotField numFmtId="22" showAll="0"/>
    <pivotField numFmtId="168" showAll="0"/>
    <pivotField showAll="0"/>
    <pivotField axis="axisRow" dataField="1" showAll="0">
      <items count="5">
        <item x="0"/>
        <item x="2"/>
        <item x="3"/>
        <item x="1"/>
        <item t="default"/>
      </items>
    </pivotField>
    <pivotField showAll="0"/>
    <pivotField showAll="0">
      <items count="20">
        <item x="15"/>
        <item x="9"/>
        <item x="17"/>
        <item x="14"/>
        <item x="7"/>
        <item x="0"/>
        <item x="1"/>
        <item x="16"/>
        <item x="8"/>
        <item x="5"/>
        <item x="3"/>
        <item x="6"/>
        <item x="12"/>
        <item x="13"/>
        <item x="10"/>
        <item x="18"/>
        <item x="4"/>
        <item x="2"/>
        <item x="11"/>
        <item t="default"/>
      </items>
    </pivotField>
    <pivotField showAll="0"/>
    <pivotField showAll="0"/>
    <pivotField showAll="0"/>
  </pivotFields>
  <rowFields count="1">
    <field x="5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What are your favorite genres of games?" fld="5" subtotal="count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948CB46-C572-4E00-B850-E1AA965FEADF}" name="Table1" displayName="Table1" ref="A1:K25" totalsRowShown="0">
  <autoFilter ref="A1:K25" xr:uid="{3948CB46-C572-4E00-B850-E1AA965FEADF}"/>
  <tableColumns count="11">
    <tableColumn id="1" xr3:uid="{7026F204-D098-4FB5-8F66-31C3B6F6A2B0}" name="Id"/>
    <tableColumn id="2" xr3:uid="{A476A05D-8598-4F7E-A6B1-C30FC1C9596C}" name="Start time" dataDxfId="2"/>
    <tableColumn id="3" xr3:uid="{2C8BF329-1E1A-4641-BB7C-3FF2895E0DF9}" name="Completion time" dataDxfId="1"/>
    <tableColumn id="4" xr3:uid="{38D60B74-DD26-459B-8682-B3AE68EA0D39}" name="Time to Complete" dataDxfId="0">
      <calculatedColumnFormula>C2-B2</calculatedColumnFormula>
    </tableColumn>
    <tableColumn id="5" xr3:uid="{075370C8-209E-4DAC-8247-44BE34181C40}" name="Email"/>
    <tableColumn id="6" xr3:uid="{09EB775D-BA15-4D2A-9639-2FDCE7498AC5}" name="What are your favorite genres of games?"/>
    <tableColumn id="7" xr3:uid="{BD2CE253-B939-4FF2-BB77-51DD7A1E973D}" name="What is your favorite Playstation game title?"/>
    <tableColumn id="8" xr3:uid="{16BA4155-F52A-47DD-8DD3-B435D53F0F02}" name="What is your PSN ID"/>
    <tableColumn id="9" xr3:uid="{8B321CEC-9F2E-4487-9BF8-6700E2CA2D7C}" name="What city and state are you in?"/>
    <tableColumn id="10" xr3:uid="{F6FA7574-3242-493F-838C-DA3C0CD13934}" name="What was your most recent game title purchase?"/>
    <tableColumn id="11" xr3:uid="{48D3D69D-6AFB-425F-9808-7951F944301F}" name="For how long have you been playing our Consoles?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42789-FA6C-42A7-942E-C2EDF207528F}">
  <dimension ref="A1:K34"/>
  <sheetViews>
    <sheetView tabSelected="1" topLeftCell="F12" workbookViewId="0">
      <selection activeCell="G28" sqref="G28"/>
    </sheetView>
  </sheetViews>
  <sheetFormatPr defaultRowHeight="15" x14ac:dyDescent="0.25"/>
  <cols>
    <col min="2" max="2" width="14.5703125" bestFit="1" customWidth="1"/>
    <col min="3" max="3" width="17.5703125" customWidth="1"/>
    <col min="4" max="4" width="23.28515625" bestFit="1" customWidth="1"/>
    <col min="5" max="5" width="11.42578125" bestFit="1" customWidth="1"/>
    <col min="6" max="6" width="38" customWidth="1"/>
    <col min="7" max="7" width="13.42578125" bestFit="1" customWidth="1"/>
    <col min="8" max="8" width="46.5703125" bestFit="1" customWidth="1"/>
    <col min="9" max="9" width="13.140625" bestFit="1" customWidth="1"/>
    <col min="10" max="10" width="15.28515625" bestFit="1" customWidth="1"/>
    <col min="11" max="11" width="7.42578125" bestFit="1" customWidth="1"/>
    <col min="12" max="12" width="10.5703125" bestFit="1" customWidth="1"/>
    <col min="13" max="13" width="4.28515625" bestFit="1" customWidth="1"/>
    <col min="14" max="14" width="10.85546875" bestFit="1" customWidth="1"/>
    <col min="15" max="15" width="7.85546875" bestFit="1" customWidth="1"/>
    <col min="16" max="16" width="16.7109375" bestFit="1" customWidth="1"/>
    <col min="17" max="17" width="17.85546875" bestFit="1" customWidth="1"/>
    <col min="18" max="18" width="13.7109375" bestFit="1" customWidth="1"/>
    <col min="19" max="19" width="16.7109375" bestFit="1" customWidth="1"/>
    <col min="20" max="21" width="13.7109375" bestFit="1" customWidth="1"/>
    <col min="22" max="22" width="8.140625" bestFit="1" customWidth="1"/>
    <col min="23" max="23" width="11.85546875" bestFit="1" customWidth="1"/>
    <col min="24" max="24" width="6.42578125" bestFit="1" customWidth="1"/>
    <col min="25" max="25" width="9.5703125" bestFit="1" customWidth="1"/>
    <col min="26" max="26" width="8.5703125" bestFit="1" customWidth="1"/>
    <col min="27" max="27" width="11.28515625" bestFit="1" customWidth="1"/>
  </cols>
  <sheetData>
    <row r="1" spans="1:11" x14ac:dyDescent="0.25">
      <c r="A1" t="s">
        <v>0</v>
      </c>
      <c r="B1" t="s">
        <v>1</v>
      </c>
      <c r="C1" t="s">
        <v>2</v>
      </c>
      <c r="D1" t="s">
        <v>107</v>
      </c>
      <c r="E1" t="s">
        <v>3</v>
      </c>
      <c r="F1" t="s">
        <v>109</v>
      </c>
      <c r="G1" t="s">
        <v>4</v>
      </c>
      <c r="H1" s="1" t="s">
        <v>97</v>
      </c>
      <c r="I1" t="s">
        <v>5</v>
      </c>
      <c r="J1" t="s">
        <v>6</v>
      </c>
      <c r="K1" t="s">
        <v>7</v>
      </c>
    </row>
    <row r="2" spans="1:11" x14ac:dyDescent="0.25">
      <c r="A2">
        <v>1</v>
      </c>
      <c r="B2" s="2">
        <v>46120.871527777781</v>
      </c>
      <c r="C2" s="2">
        <v>46120.873611111114</v>
      </c>
      <c r="D2" s="3">
        <f>C2-B2</f>
        <v>2.0833333328482695E-3</v>
      </c>
      <c r="E2" t="s">
        <v>8</v>
      </c>
      <c r="F2" t="s">
        <v>9</v>
      </c>
      <c r="G2" t="s">
        <v>10</v>
      </c>
      <c r="H2" t="s">
        <v>35</v>
      </c>
      <c r="I2" t="s">
        <v>35</v>
      </c>
      <c r="J2" t="s">
        <v>35</v>
      </c>
      <c r="K2" t="s">
        <v>35</v>
      </c>
    </row>
    <row r="3" spans="1:11" x14ac:dyDescent="0.25">
      <c r="A3">
        <v>2</v>
      </c>
      <c r="B3" s="2">
        <v>46120.901388888888</v>
      </c>
      <c r="C3" s="2">
        <v>46120.90347222222</v>
      </c>
      <c r="D3" s="3">
        <f t="shared" ref="D3:D25" si="0">C3-B3</f>
        <v>2.0833333328482695E-3</v>
      </c>
      <c r="E3" t="s">
        <v>8</v>
      </c>
      <c r="F3" t="s">
        <v>9</v>
      </c>
      <c r="G3" t="s">
        <v>11</v>
      </c>
      <c r="H3" t="s">
        <v>12</v>
      </c>
      <c r="I3" t="s">
        <v>13</v>
      </c>
      <c r="J3" t="s">
        <v>14</v>
      </c>
      <c r="K3" t="s">
        <v>15</v>
      </c>
    </row>
    <row r="4" spans="1:11" x14ac:dyDescent="0.25">
      <c r="A4">
        <v>3</v>
      </c>
      <c r="B4" s="2">
        <v>46121.386111111111</v>
      </c>
      <c r="C4" s="2">
        <v>46121.395833333336</v>
      </c>
      <c r="D4" s="3">
        <f t="shared" si="0"/>
        <v>9.7222222248092294E-3</v>
      </c>
      <c r="E4" t="s">
        <v>8</v>
      </c>
      <c r="F4" t="s">
        <v>16</v>
      </c>
      <c r="G4" t="s">
        <v>17</v>
      </c>
      <c r="H4" t="s">
        <v>18</v>
      </c>
      <c r="I4" t="s">
        <v>19</v>
      </c>
      <c r="J4" t="s">
        <v>20</v>
      </c>
      <c r="K4" t="s">
        <v>21</v>
      </c>
    </row>
    <row r="5" spans="1:11" x14ac:dyDescent="0.25">
      <c r="A5">
        <v>4</v>
      </c>
      <c r="B5" s="2">
        <v>46121.435416666667</v>
      </c>
      <c r="C5" s="2">
        <v>46121.436805555553</v>
      </c>
      <c r="D5" s="3">
        <f>C5-B5</f>
        <v>1.3888888861401938E-3</v>
      </c>
      <c r="E5" t="s">
        <v>8</v>
      </c>
      <c r="F5" t="s">
        <v>9</v>
      </c>
      <c r="G5" t="s">
        <v>22</v>
      </c>
      <c r="H5" t="s">
        <v>105</v>
      </c>
      <c r="I5" t="s">
        <v>23</v>
      </c>
      <c r="J5" t="s">
        <v>22</v>
      </c>
      <c r="K5" t="s">
        <v>41</v>
      </c>
    </row>
    <row r="6" spans="1:11" x14ac:dyDescent="0.25">
      <c r="A6">
        <v>5</v>
      </c>
      <c r="B6" s="2">
        <v>46121.438194444447</v>
      </c>
      <c r="C6" s="2">
        <v>46121.438888888886</v>
      </c>
      <c r="D6" s="3">
        <f t="shared" si="0"/>
        <v>6.9444443943211809E-4</v>
      </c>
      <c r="E6" t="s">
        <v>8</v>
      </c>
      <c r="F6" t="s">
        <v>24</v>
      </c>
      <c r="G6" t="s">
        <v>25</v>
      </c>
      <c r="H6" t="s">
        <v>26</v>
      </c>
      <c r="I6" t="s">
        <v>27</v>
      </c>
      <c r="J6" t="s">
        <v>28</v>
      </c>
      <c r="K6" t="s">
        <v>29</v>
      </c>
    </row>
    <row r="7" spans="1:11" x14ac:dyDescent="0.25">
      <c r="A7">
        <v>6</v>
      </c>
      <c r="B7" s="2">
        <v>46121.44027777778</v>
      </c>
      <c r="C7" s="2">
        <v>46121.440972222219</v>
      </c>
      <c r="D7" s="3">
        <f t="shared" si="0"/>
        <v>6.9444443943211809E-4</v>
      </c>
      <c r="E7" t="s">
        <v>8</v>
      </c>
      <c r="F7" t="s">
        <v>9</v>
      </c>
      <c r="G7" t="s">
        <v>30</v>
      </c>
      <c r="H7" t="s">
        <v>104</v>
      </c>
      <c r="I7" t="s">
        <v>27</v>
      </c>
      <c r="J7" t="s">
        <v>31</v>
      </c>
      <c r="K7" t="s">
        <v>32</v>
      </c>
    </row>
    <row r="8" spans="1:11" x14ac:dyDescent="0.25">
      <c r="A8">
        <v>7</v>
      </c>
      <c r="B8" s="2">
        <v>46121.48333333333</v>
      </c>
      <c r="C8" s="2">
        <v>46121.48333333333</v>
      </c>
      <c r="D8" s="3">
        <f t="shared" si="0"/>
        <v>0</v>
      </c>
      <c r="E8" t="s">
        <v>8</v>
      </c>
      <c r="F8" t="s">
        <v>24</v>
      </c>
      <c r="G8" t="s">
        <v>33</v>
      </c>
      <c r="H8" t="s">
        <v>103</v>
      </c>
      <c r="I8" t="s">
        <v>19</v>
      </c>
      <c r="J8" t="s">
        <v>33</v>
      </c>
      <c r="K8" t="s">
        <v>34</v>
      </c>
    </row>
    <row r="9" spans="1:11" x14ac:dyDescent="0.25">
      <c r="A9">
        <v>8</v>
      </c>
      <c r="B9" s="2">
        <v>46121.488888888889</v>
      </c>
      <c r="C9" s="2">
        <v>46121.488888888889</v>
      </c>
      <c r="D9" s="3">
        <f t="shared" si="0"/>
        <v>0</v>
      </c>
      <c r="E9" t="s">
        <v>8</v>
      </c>
      <c r="F9" t="s">
        <v>9</v>
      </c>
      <c r="G9" t="s">
        <v>10</v>
      </c>
      <c r="H9" t="s">
        <v>35</v>
      </c>
      <c r="I9" t="s">
        <v>36</v>
      </c>
      <c r="J9" t="s">
        <v>35</v>
      </c>
      <c r="K9" t="s">
        <v>37</v>
      </c>
    </row>
    <row r="10" spans="1:11" x14ac:dyDescent="0.25">
      <c r="A10">
        <v>9</v>
      </c>
      <c r="B10" s="2">
        <v>46121.543055555558</v>
      </c>
      <c r="C10" s="2">
        <v>46121.544444444444</v>
      </c>
      <c r="D10" s="3">
        <f t="shared" si="0"/>
        <v>1.3888888861401938E-3</v>
      </c>
      <c r="E10" t="s">
        <v>8</v>
      </c>
      <c r="F10" t="s">
        <v>9</v>
      </c>
      <c r="G10" t="s">
        <v>38</v>
      </c>
      <c r="H10" t="s">
        <v>35</v>
      </c>
      <c r="I10" t="s">
        <v>39</v>
      </c>
      <c r="J10" t="s">
        <v>40</v>
      </c>
      <c r="K10" t="s">
        <v>41</v>
      </c>
    </row>
    <row r="11" spans="1:11" x14ac:dyDescent="0.25">
      <c r="A11">
        <v>10</v>
      </c>
      <c r="B11" s="2">
        <v>46121.550694444442</v>
      </c>
      <c r="C11" s="2">
        <v>46121.550694444442</v>
      </c>
      <c r="D11" s="3">
        <f t="shared" si="0"/>
        <v>0</v>
      </c>
      <c r="E11" t="s">
        <v>8</v>
      </c>
      <c r="F11" t="s">
        <v>9</v>
      </c>
      <c r="G11" t="s">
        <v>42</v>
      </c>
      <c r="H11" t="s">
        <v>43</v>
      </c>
      <c r="I11" t="s">
        <v>27</v>
      </c>
      <c r="J11" t="s">
        <v>44</v>
      </c>
      <c r="K11" t="s">
        <v>45</v>
      </c>
    </row>
    <row r="12" spans="1:11" x14ac:dyDescent="0.25">
      <c r="A12">
        <v>11</v>
      </c>
      <c r="B12" s="2">
        <v>46121.554166666669</v>
      </c>
      <c r="C12" s="2">
        <v>46121.554861111108</v>
      </c>
      <c r="D12" s="3">
        <f t="shared" si="0"/>
        <v>6.9444443943211809E-4</v>
      </c>
      <c r="E12" t="s">
        <v>8</v>
      </c>
      <c r="F12" t="s">
        <v>16</v>
      </c>
      <c r="G12" t="s">
        <v>46</v>
      </c>
      <c r="H12" t="s">
        <v>102</v>
      </c>
      <c r="I12" t="s">
        <v>39</v>
      </c>
      <c r="J12" t="s">
        <v>47</v>
      </c>
      <c r="K12" t="s">
        <v>48</v>
      </c>
    </row>
    <row r="13" spans="1:11" x14ac:dyDescent="0.25">
      <c r="A13">
        <v>12</v>
      </c>
      <c r="B13" s="2">
        <v>46121.561805555553</v>
      </c>
      <c r="C13" s="2">
        <v>46121.561805555553</v>
      </c>
      <c r="D13" s="3">
        <f t="shared" si="0"/>
        <v>0</v>
      </c>
      <c r="E13" t="s">
        <v>8</v>
      </c>
      <c r="F13" t="s">
        <v>16</v>
      </c>
      <c r="G13" t="s">
        <v>49</v>
      </c>
      <c r="H13" t="s">
        <v>50</v>
      </c>
      <c r="I13" t="s">
        <v>51</v>
      </c>
      <c r="J13" t="s">
        <v>52</v>
      </c>
      <c r="K13" t="s">
        <v>98</v>
      </c>
    </row>
    <row r="14" spans="1:11" x14ac:dyDescent="0.25">
      <c r="A14">
        <v>13</v>
      </c>
      <c r="B14" s="2">
        <v>46121.563888888886</v>
      </c>
      <c r="C14" s="2">
        <v>46121.564583333333</v>
      </c>
      <c r="D14" s="3">
        <f t="shared" si="0"/>
        <v>6.944444467080757E-4</v>
      </c>
      <c r="E14" t="s">
        <v>8</v>
      </c>
      <c r="F14" t="s">
        <v>16</v>
      </c>
      <c r="G14" t="s">
        <v>53</v>
      </c>
      <c r="H14" t="s">
        <v>106</v>
      </c>
      <c r="I14" t="s">
        <v>54</v>
      </c>
      <c r="J14" t="s">
        <v>55</v>
      </c>
      <c r="K14" t="s">
        <v>56</v>
      </c>
    </row>
    <row r="15" spans="1:11" x14ac:dyDescent="0.25">
      <c r="A15">
        <v>14</v>
      </c>
      <c r="B15" s="2">
        <v>46121.56527777778</v>
      </c>
      <c r="C15" s="2">
        <v>46121.565972222219</v>
      </c>
      <c r="D15" s="3">
        <f t="shared" si="0"/>
        <v>6.9444443943211809E-4</v>
      </c>
      <c r="E15" t="s">
        <v>8</v>
      </c>
      <c r="F15" t="s">
        <v>16</v>
      </c>
      <c r="G15" t="s">
        <v>57</v>
      </c>
      <c r="H15" t="s">
        <v>58</v>
      </c>
      <c r="I15" t="s">
        <v>59</v>
      </c>
      <c r="J15" t="s">
        <v>60</v>
      </c>
      <c r="K15" t="s">
        <v>61</v>
      </c>
    </row>
    <row r="16" spans="1:11" x14ac:dyDescent="0.25">
      <c r="A16">
        <v>15</v>
      </c>
      <c r="B16" s="2">
        <v>46121.567361111112</v>
      </c>
      <c r="C16" s="2">
        <v>46121.568055555559</v>
      </c>
      <c r="D16" s="3">
        <f t="shared" si="0"/>
        <v>6.944444467080757E-4</v>
      </c>
      <c r="E16" t="s">
        <v>8</v>
      </c>
      <c r="F16" t="s">
        <v>16</v>
      </c>
      <c r="G16" t="s">
        <v>62</v>
      </c>
      <c r="H16" t="s">
        <v>99</v>
      </c>
      <c r="I16" t="s">
        <v>63</v>
      </c>
      <c r="J16" t="s">
        <v>64</v>
      </c>
      <c r="K16" t="s">
        <v>41</v>
      </c>
    </row>
    <row r="17" spans="1:11" x14ac:dyDescent="0.25">
      <c r="A17">
        <v>16</v>
      </c>
      <c r="B17" s="2">
        <v>46121.568749999999</v>
      </c>
      <c r="C17" s="2">
        <v>46121.570138888892</v>
      </c>
      <c r="D17" s="3">
        <f t="shared" si="0"/>
        <v>1.3888888934161514E-3</v>
      </c>
      <c r="E17" t="s">
        <v>8</v>
      </c>
      <c r="F17" t="s">
        <v>24</v>
      </c>
      <c r="G17" t="s">
        <v>65</v>
      </c>
      <c r="H17" t="s">
        <v>35</v>
      </c>
      <c r="I17" t="s">
        <v>66</v>
      </c>
      <c r="J17" t="s">
        <v>67</v>
      </c>
      <c r="K17" t="s">
        <v>68</v>
      </c>
    </row>
    <row r="18" spans="1:11" x14ac:dyDescent="0.25">
      <c r="A18">
        <v>17</v>
      </c>
      <c r="B18" s="2">
        <v>46121.570138888892</v>
      </c>
      <c r="C18" s="2">
        <v>46121.570833333331</v>
      </c>
      <c r="D18" s="3">
        <f t="shared" si="0"/>
        <v>6.9444443943211809E-4</v>
      </c>
      <c r="E18" t="s">
        <v>8</v>
      </c>
      <c r="F18" t="s">
        <v>24</v>
      </c>
      <c r="G18" t="s">
        <v>69</v>
      </c>
      <c r="H18" t="s">
        <v>35</v>
      </c>
      <c r="I18" t="s">
        <v>27</v>
      </c>
      <c r="J18" t="s">
        <v>69</v>
      </c>
      <c r="K18" t="s">
        <v>70</v>
      </c>
    </row>
    <row r="19" spans="1:11" x14ac:dyDescent="0.25">
      <c r="A19">
        <v>18</v>
      </c>
      <c r="B19" s="2">
        <v>46121.570833333331</v>
      </c>
      <c r="C19" s="2">
        <v>46121.571527777778</v>
      </c>
      <c r="D19" s="3">
        <f t="shared" si="0"/>
        <v>6.944444467080757E-4</v>
      </c>
      <c r="E19" t="s">
        <v>8</v>
      </c>
      <c r="F19" t="s">
        <v>16</v>
      </c>
      <c r="G19" t="s">
        <v>71</v>
      </c>
      <c r="H19" t="s">
        <v>100</v>
      </c>
      <c r="I19" t="s">
        <v>72</v>
      </c>
      <c r="J19" t="s">
        <v>49</v>
      </c>
      <c r="K19" t="s">
        <v>73</v>
      </c>
    </row>
    <row r="20" spans="1:11" x14ac:dyDescent="0.25">
      <c r="A20">
        <v>19</v>
      </c>
      <c r="B20" s="2">
        <v>46121.577777777777</v>
      </c>
      <c r="C20" s="2">
        <v>46121.579861111109</v>
      </c>
      <c r="D20" s="3">
        <f t="shared" si="0"/>
        <v>2.0833333328482695E-3</v>
      </c>
      <c r="E20" t="s">
        <v>8</v>
      </c>
      <c r="F20" t="s">
        <v>24</v>
      </c>
      <c r="G20" t="s">
        <v>74</v>
      </c>
      <c r="H20" t="s">
        <v>101</v>
      </c>
      <c r="I20" t="s">
        <v>75</v>
      </c>
      <c r="J20" t="s">
        <v>76</v>
      </c>
      <c r="K20" t="s">
        <v>77</v>
      </c>
    </row>
    <row r="21" spans="1:11" x14ac:dyDescent="0.25">
      <c r="A21">
        <v>20</v>
      </c>
      <c r="B21" s="2">
        <v>46121.579861111109</v>
      </c>
      <c r="C21" s="2">
        <v>46121.580555555556</v>
      </c>
      <c r="D21" s="3">
        <f t="shared" si="0"/>
        <v>6.944444467080757E-4</v>
      </c>
      <c r="E21" t="s">
        <v>8</v>
      </c>
      <c r="F21" t="s">
        <v>78</v>
      </c>
      <c r="G21" t="s">
        <v>79</v>
      </c>
      <c r="H21" t="s">
        <v>80</v>
      </c>
      <c r="I21" t="s">
        <v>81</v>
      </c>
      <c r="J21" t="s">
        <v>82</v>
      </c>
      <c r="K21" t="s">
        <v>83</v>
      </c>
    </row>
    <row r="22" spans="1:11" x14ac:dyDescent="0.25">
      <c r="A22">
        <v>21</v>
      </c>
      <c r="B22" s="2">
        <v>46121.581944444442</v>
      </c>
      <c r="C22" s="2">
        <v>46121.583333333336</v>
      </c>
      <c r="D22" s="3">
        <f t="shared" si="0"/>
        <v>1.3888888934161514E-3</v>
      </c>
      <c r="E22" t="s">
        <v>8</v>
      </c>
      <c r="F22" t="s">
        <v>9</v>
      </c>
      <c r="G22" t="s">
        <v>84</v>
      </c>
      <c r="H22" t="s">
        <v>85</v>
      </c>
      <c r="I22" t="s">
        <v>27</v>
      </c>
      <c r="J22" t="s">
        <v>86</v>
      </c>
      <c r="K22" t="s">
        <v>87</v>
      </c>
    </row>
    <row r="23" spans="1:11" x14ac:dyDescent="0.25">
      <c r="A23">
        <v>22</v>
      </c>
      <c r="B23" s="2">
        <v>46121.59652777778</v>
      </c>
      <c r="C23" s="2">
        <v>46121.597222222219</v>
      </c>
      <c r="D23" s="3">
        <f t="shared" si="0"/>
        <v>6.9444443943211809E-4</v>
      </c>
      <c r="E23" t="s">
        <v>8</v>
      </c>
      <c r="F23" t="s">
        <v>78</v>
      </c>
      <c r="G23" t="s">
        <v>88</v>
      </c>
      <c r="H23" t="s">
        <v>88</v>
      </c>
      <c r="I23" t="s">
        <v>89</v>
      </c>
      <c r="J23" t="s">
        <v>90</v>
      </c>
      <c r="K23" t="s">
        <v>91</v>
      </c>
    </row>
    <row r="24" spans="1:11" x14ac:dyDescent="0.25">
      <c r="A24">
        <v>23</v>
      </c>
      <c r="B24" s="2">
        <v>46121.686805555553</v>
      </c>
      <c r="C24" s="2">
        <v>46121.70416666667</v>
      </c>
      <c r="D24" s="3">
        <f t="shared" si="0"/>
        <v>1.7361111116770189E-2</v>
      </c>
      <c r="E24" t="s">
        <v>8</v>
      </c>
      <c r="F24" t="s">
        <v>9</v>
      </c>
      <c r="G24" t="s">
        <v>92</v>
      </c>
      <c r="H24" t="s">
        <v>35</v>
      </c>
      <c r="I24" t="s">
        <v>93</v>
      </c>
      <c r="J24" t="s">
        <v>35</v>
      </c>
      <c r="K24" t="s">
        <v>35</v>
      </c>
    </row>
    <row r="25" spans="1:11" x14ac:dyDescent="0.25">
      <c r="A25">
        <v>24</v>
      </c>
      <c r="B25" s="2">
        <v>46122.531944444447</v>
      </c>
      <c r="C25" s="2">
        <v>46122.53402777778</v>
      </c>
      <c r="D25" s="3">
        <f t="shared" si="0"/>
        <v>2.0833333328482695E-3</v>
      </c>
      <c r="E25" t="s">
        <v>8</v>
      </c>
      <c r="F25" t="s">
        <v>24</v>
      </c>
      <c r="G25" t="s">
        <v>30</v>
      </c>
      <c r="H25" t="s">
        <v>94</v>
      </c>
      <c r="I25" t="s">
        <v>19</v>
      </c>
      <c r="J25" t="s">
        <v>95</v>
      </c>
      <c r="K25" t="s">
        <v>96</v>
      </c>
    </row>
    <row r="27" spans="1:11" x14ac:dyDescent="0.25">
      <c r="D27" s="3">
        <f>AVERAGE(D2:D25)</f>
        <v>1.9965277773129251E-3</v>
      </c>
      <c r="F27">
        <f>COUNTIF(F1:F25, "Adventure")</f>
        <v>9</v>
      </c>
    </row>
    <row r="28" spans="1:11" x14ac:dyDescent="0.25">
      <c r="D28" t="s">
        <v>108</v>
      </c>
      <c r="F28" t="s">
        <v>110</v>
      </c>
      <c r="G28" s="5" t="s">
        <v>115</v>
      </c>
      <c r="H28" t="s">
        <v>114</v>
      </c>
    </row>
    <row r="29" spans="1:11" x14ac:dyDescent="0.25">
      <c r="F29">
        <f>COUNTIF(F1:F25, "Sports")</f>
        <v>7</v>
      </c>
      <c r="G29" s="6" t="s">
        <v>9</v>
      </c>
      <c r="H29" s="4">
        <v>9</v>
      </c>
    </row>
    <row r="30" spans="1:11" x14ac:dyDescent="0.25">
      <c r="F30" t="s">
        <v>111</v>
      </c>
      <c r="G30" s="6" t="s">
        <v>24</v>
      </c>
      <c r="H30" s="4">
        <v>6</v>
      </c>
    </row>
    <row r="31" spans="1:11" x14ac:dyDescent="0.25">
      <c r="F31">
        <f>COUNTIF(F1:F25, "Fighters")</f>
        <v>6</v>
      </c>
      <c r="G31" s="6" t="s">
        <v>78</v>
      </c>
      <c r="H31" s="4">
        <v>2</v>
      </c>
    </row>
    <row r="32" spans="1:11" x14ac:dyDescent="0.25">
      <c r="F32" t="s">
        <v>112</v>
      </c>
      <c r="G32" s="6" t="s">
        <v>16</v>
      </c>
      <c r="H32" s="4">
        <v>7</v>
      </c>
    </row>
    <row r="33" spans="6:8" x14ac:dyDescent="0.25">
      <c r="F33">
        <f>COUNTIF(F1:F25, "MMORPG")</f>
        <v>2</v>
      </c>
      <c r="G33" s="6" t="s">
        <v>116</v>
      </c>
      <c r="H33" s="4">
        <v>24</v>
      </c>
    </row>
    <row r="34" spans="6:8" x14ac:dyDescent="0.25">
      <c r="F34" t="s">
        <v>113</v>
      </c>
    </row>
  </sheetData>
  <pageMargins left="0.7" right="0.7" top="0.75" bottom="0.75" header="0.3" footer="0.3"/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Playstation(Sheet1) (3)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ariel rollins</dc:creator>
  <cp:lastModifiedBy>ariel rollins</cp:lastModifiedBy>
  <dcterms:created xsi:type="dcterms:W3CDTF">2026-04-10T19:59:21Z</dcterms:created>
  <dcterms:modified xsi:type="dcterms:W3CDTF">2026-04-10T19:59:21Z</dcterms:modified>
</cp:coreProperties>
</file>