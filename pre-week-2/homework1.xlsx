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rielrollins\Desktop\DataAnalytics\pre-week-2\"/>
    </mc:Choice>
  </mc:AlternateContent>
  <xr:revisionPtr revIDLastSave="0" documentId="13_ncr:9_{9A2E9791-BFE9-4425-B8AF-A478109D03EB}" xr6:coauthVersionLast="47" xr6:coauthVersionMax="47" xr10:uidLastSave="{00000000-0000-0000-0000-000000000000}"/>
  <bookViews>
    <workbookView xWindow="-120" yWindow="-120" windowWidth="29040" windowHeight="17520" activeTab="1" xr2:uid="{25297A1B-05B8-4D68-84AF-1B4571A5BF88}"/>
  </bookViews>
  <sheets>
    <sheet name="Store_Summary" sheetId="3" r:id="rId1"/>
    <sheet name="Store_Data" sheetId="2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19" i="2" l="1"/>
  <c r="B18" i="2"/>
  <c r="B15" i="2"/>
  <c r="B14" i="2"/>
  <c r="E18" i="2"/>
  <c r="B17" i="2"/>
  <c r="E17" i="2"/>
  <c r="E16" i="2"/>
  <c r="E15" i="2"/>
  <c r="B16" i="2"/>
</calcChain>
</file>

<file path=xl/sharedStrings.xml><?xml version="1.0" encoding="utf-8"?>
<sst xmlns="http://purl.oclc.org/ooxml/spreadsheetml/main" count="41" uniqueCount="23">
  <si>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</si>
  <si>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</si>
  <si>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</si>
  <si>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</si>
  <si>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</si>
  <si>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</si>
  <si>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</si>
  <si>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</si>
  <si>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</si>
  <si>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</si>
  <si>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</si>
  <si>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</si>
  <si>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</si>
  <si>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</si>
  <si>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Range</t>
  </si>
  <si>
    <t>Mean</t>
  </si>
  <si>
    <t>Median</t>
  </si>
  <si>
    <t>Mode</t>
  </si>
  <si>
    <t>Standard Division</t>
  </si>
  <si>
    <t>C.) Store H's removal in the second table influences influences the range by 12.</t>
  </si>
  <si>
    <t>A.) For both data tables, the average performance was higher without Store H excluded from the data.</t>
  </si>
  <si>
    <t>B.) The data spread produced moreso tighter numbers.</t>
  </si>
  <si>
    <t>D.) What makes Store H's performance higher than the average number in the data.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</si>
</sst>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start/>
      <end/>
      <top/>
      <bottom/>
      <diagonal/>
    </border>
    <border>
      <start/>
      <end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2" borderId="0" xfId="0" applyFill="1"/>
  </cellXfs>
  <cellStyles count="1">
    <cellStyle name="Normal" xfId="0" builtinId="0"/>
  </cellStyles>
  <dxfs count="1"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51DA5AFB-FB9C-4114-B967-77E75D4BC2B8}" name="Table1" displayName="Table1" ref="A1:B14" totalsRowCount="1">
  <autoFilter ref="A1:B13" xr:uid="{51DA5AFB-FB9C-4114-B967-77E75D4BC2B8}"/>
  <tableColumns count="2">
    <tableColumn id="1" xr3:uid="{4366E0F5-C06B-4016-BFA7-80021193AD8C}" name="Store" totalsRowLabel="Mean"/>
    <tableColumn id="2" xr3:uid="{4B1E7F61-C720-4077-9AED-3FB9852DCECB}" name="Monthly Sales" totalsRowFunction="custom" totalsRowDxfId="0">
      <totalsRowFormula>AVERAGE(Table1[Monthly Sales])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905D-0348-4503-B9E9-3D0868158456}">
  <dimension ref="A1:A4"/>
  <sheetViews>
    <sheetView workbookViewId="0">
      <selection activeCell="A4" sqref="A4"/>
    </sheetView>
  </sheetViews>
  <sheetFormatPr defaultRowHeight="15" x14ac:dyDescent="0.25"/>
  <cols>
    <col min="1" max="1" width="91.42578125" bestFit="1" customWidth="1"/>
  </cols>
  <sheetData>
    <row r="1" spans="1:1" x14ac:dyDescent="0.25">
      <c r="A1" t="s">
        <v>20</v>
      </c>
    </row>
    <row r="2" spans="1:1" x14ac:dyDescent="0.25">
      <c r="A2" t="s">
        <v>21</v>
      </c>
    </row>
    <row r="3" spans="1:1" x14ac:dyDescent="0.25">
      <c r="A3" t="s">
        <v>19</v>
      </c>
    </row>
    <row r="4" spans="1:1" x14ac:dyDescent="0.25">
      <c r="A4" t="s">
        <v>22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2698-3F10-4507-9BBA-D4231D3E97DA}">
  <dimension ref="A1:E19"/>
  <sheetViews>
    <sheetView tabSelected="1" workbookViewId="0">
      <selection activeCell="B10" sqref="B10"/>
    </sheetView>
  </sheetViews>
  <sheetFormatPr defaultRowHeight="15" x14ac:dyDescent="0.25"/>
  <cols>
    <col min="1" max="1" width="16.7109375" bestFit="1" customWidth="1"/>
    <col min="2" max="2" width="16" bestFit="1" customWidth="1"/>
    <col min="4" max="4" width="16.7109375" bestFit="1" customWidth="1"/>
    <col min="5" max="5" width="13.7109375" bestFit="1" customWidth="1"/>
  </cols>
  <sheetData>
    <row r="1" spans="1:5" x14ac:dyDescent="0.25">
      <c r="A1" t="s">
        <v>0</v>
      </c>
      <c r="B1" t="s">
        <v>1</v>
      </c>
      <c r="D1" s="1" t="s">
        <v>0</v>
      </c>
      <c r="E1" s="1" t="s">
        <v>1</v>
      </c>
    </row>
    <row r="2" spans="1:5" x14ac:dyDescent="0.25">
      <c r="A2" t="s">
        <v>2</v>
      </c>
      <c r="B2">
        <v>51</v>
      </c>
      <c r="D2" s="2" t="s">
        <v>2</v>
      </c>
      <c r="E2" s="2">
        <v>51</v>
      </c>
    </row>
    <row r="3" spans="1:5" x14ac:dyDescent="0.25">
      <c r="A3" t="s">
        <v>3</v>
      </c>
      <c r="B3">
        <v>44</v>
      </c>
      <c r="D3" t="s">
        <v>3</v>
      </c>
      <c r="E3">
        <v>44</v>
      </c>
    </row>
    <row r="4" spans="1:5" x14ac:dyDescent="0.25">
      <c r="A4" t="s">
        <v>4</v>
      </c>
      <c r="B4">
        <v>49</v>
      </c>
      <c r="D4" s="2" t="s">
        <v>4</v>
      </c>
      <c r="E4" s="2">
        <v>49</v>
      </c>
    </row>
    <row r="5" spans="1:5" x14ac:dyDescent="0.25">
      <c r="A5" t="s">
        <v>5</v>
      </c>
      <c r="B5">
        <v>46</v>
      </c>
      <c r="D5" t="s">
        <v>5</v>
      </c>
      <c r="E5">
        <v>46</v>
      </c>
    </row>
    <row r="6" spans="1:5" x14ac:dyDescent="0.25">
      <c r="A6" t="s">
        <v>6</v>
      </c>
      <c r="B6">
        <v>52</v>
      </c>
      <c r="D6" s="2" t="s">
        <v>6</v>
      </c>
      <c r="E6" s="2">
        <v>52</v>
      </c>
    </row>
    <row r="7" spans="1:5" x14ac:dyDescent="0.25">
      <c r="A7" t="s">
        <v>7</v>
      </c>
      <c r="B7">
        <v>47</v>
      </c>
      <c r="D7" t="s">
        <v>7</v>
      </c>
      <c r="E7">
        <v>47</v>
      </c>
    </row>
    <row r="8" spans="1:5" x14ac:dyDescent="0.25">
      <c r="A8" t="s">
        <v>8</v>
      </c>
      <c r="B8">
        <v>45</v>
      </c>
      <c r="D8" s="2" t="s">
        <v>8</v>
      </c>
      <c r="E8" s="2">
        <v>45</v>
      </c>
    </row>
    <row r="9" spans="1:5" x14ac:dyDescent="0.25">
      <c r="A9" t="s">
        <v>9</v>
      </c>
      <c r="B9">
        <v>72</v>
      </c>
    </row>
    <row r="10" spans="1:5" x14ac:dyDescent="0.25">
      <c r="A10" t="s">
        <v>10</v>
      </c>
      <c r="B10">
        <v>43</v>
      </c>
      <c r="D10" s="2" t="s">
        <v>10</v>
      </c>
      <c r="E10" s="2">
        <v>43</v>
      </c>
    </row>
    <row r="11" spans="1:5" x14ac:dyDescent="0.25">
      <c r="A11" t="s">
        <v>11</v>
      </c>
      <c r="B11">
        <v>48</v>
      </c>
      <c r="D11" t="s">
        <v>11</v>
      </c>
      <c r="E11">
        <v>48</v>
      </c>
    </row>
    <row r="12" spans="1:5" x14ac:dyDescent="0.25">
      <c r="A12" t="s">
        <v>12</v>
      </c>
      <c r="B12">
        <v>46</v>
      </c>
      <c r="D12" s="2" t="s">
        <v>12</v>
      </c>
      <c r="E12" s="2">
        <v>46</v>
      </c>
    </row>
    <row r="13" spans="1:5" x14ac:dyDescent="0.25">
      <c r="A13" t="s">
        <v>13</v>
      </c>
      <c r="B13">
        <v>50</v>
      </c>
      <c r="D13" t="s">
        <v>13</v>
      </c>
      <c r="E13">
        <v>50</v>
      </c>
    </row>
    <row r="14" spans="1:5" ht="14.25" customHeight="1" x14ac:dyDescent="0.25">
      <c r="A14" t="s">
        <v>15</v>
      </c>
      <c r="B14">
        <f>AVERAGE(Table1[Monthly Sales])</f>
        <v>49.416666666666664</v>
      </c>
    </row>
    <row r="15" spans="1:5" x14ac:dyDescent="0.25">
      <c r="A15" t="s">
        <v>16</v>
      </c>
      <c r="B15">
        <f>MEDIAN(Table1[Monthly Sales])</f>
        <v>47.5</v>
      </c>
      <c r="D15" t="s">
        <v>15</v>
      </c>
      <c r="E15">
        <f>AVERAGE(E2:E13)</f>
        <v>47.363636363636367</v>
      </c>
    </row>
    <row r="16" spans="1:5" x14ac:dyDescent="0.25">
      <c r="A16" t="s">
        <v>17</v>
      </c>
      <c r="B16">
        <f>_xlfn.MODE.SNGL(Table1[Monthly Sales])</f>
        <v>46</v>
      </c>
      <c r="D16" t="s">
        <v>16</v>
      </c>
      <c r="E16">
        <f>MEDIAN(E2:E13)</f>
        <v>47</v>
      </c>
    </row>
    <row r="17" spans="1:5" x14ac:dyDescent="0.25">
      <c r="A17" t="s">
        <v>14</v>
      </c>
      <c r="B17">
        <f>MAX(B9-MIN(B2))</f>
        <v>21</v>
      </c>
      <c r="D17" t="s">
        <v>17</v>
      </c>
      <c r="E17">
        <f>_xlfn.MODE.SNGL(E2:E13)</f>
        <v>46</v>
      </c>
    </row>
    <row r="18" spans="1:5" x14ac:dyDescent="0.25">
      <c r="A18" t="s">
        <v>18</v>
      </c>
      <c r="B18">
        <f>_xlfn.STDEV.S(Table1[Monthly Sales])</f>
        <v>7.6331613054586773</v>
      </c>
      <c r="D18" t="s">
        <v>14</v>
      </c>
      <c r="E18">
        <f>MAX(E6)-MIN(E10)</f>
        <v>9</v>
      </c>
    </row>
    <row r="19" spans="1:5" x14ac:dyDescent="0.25">
      <c r="D19" t="s">
        <v>18</v>
      </c>
      <c r="E19">
        <f>_xlfn.STDEV.S(E2:E13)</f>
        <v>2.9076701075853588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Store_Summary</vt:lpstr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rollins</dc:creator>
  <cp:lastModifiedBy>ariel rollins</cp:lastModifiedBy>
  <dcterms:created xsi:type="dcterms:W3CDTF">2026-03-25T15:18:30Z</dcterms:created>
  <dcterms:modified xsi:type="dcterms:W3CDTF">2026-04-01T16:01:31Z</dcterms:modified>
</cp:coreProperties>
</file>